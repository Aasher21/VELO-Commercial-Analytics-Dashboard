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 Overview" sheetId="1" state="visible" r:id="rId3"/>
    <sheet name="Price Sensitivity" sheetId="2" state="visible" r:id="rId4"/>
    <sheet name="Flavour &amp; Promo Strategy" sheetId="3" state="visible" r:id="rId5"/>
    <sheet name="Strategic Recommenda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<sst xmlns="http://schemas.openxmlformats.org/spreadsheetml/2006/main" count="224" uniqueCount="190">
  <si>
    <t xml:space="preserve">VELO CONSUMER DEMAND &amp; MARKET POSITIONING ANALYSIS</t>
  </si>
  <si>
    <t xml:space="preserve">British American Tobacco | Pakistan Market | Aasher Athar Janjua | 2026</t>
  </si>
  <si>
    <t xml:space="preserve">Total Respondents</t>
  </si>
  <si>
    <t xml:space="preserve">Velo Adoption Rate</t>
  </si>
  <si>
    <t xml:space="preserve">Brand Awareness</t>
  </si>
  <si>
    <t xml:space="preserve">Avg WTP per Tin</t>
  </si>
  <si>
    <t xml:space="preserve">NPS Score</t>
  </si>
  <si>
    <t xml:space="preserve">500</t>
  </si>
  <si>
    <t xml:space="preserve">30%</t>
  </si>
  <si>
    <t xml:space="preserve">54%</t>
  </si>
  <si>
    <t xml:space="preserve">PKR 480</t>
  </si>
  <si>
    <t xml:space="preserve">+42</t>
  </si>
  <si>
    <t xml:space="preserve">Survey Sample</t>
  </si>
  <si>
    <t xml:space="preserve">Current Users</t>
  </si>
  <si>
    <t xml:space="preserve">Aware of Velo</t>
  </si>
  <si>
    <t xml:space="preserve">Willingness to Pay</t>
  </si>
  <si>
    <t xml:space="preserve">Net Promoter Score</t>
  </si>
  <si>
    <t xml:space="preserve">DEMOGRAPHIC BREAKDOWN — VELO USERS</t>
  </si>
  <si>
    <t xml:space="preserve">Age Group</t>
  </si>
  <si>
    <t xml:space="preserve">% Velo Adoption</t>
  </si>
  <si>
    <t xml:space="preserve">Top City</t>
  </si>
  <si>
    <t xml:space="preserve">Top Profession</t>
  </si>
  <si>
    <t xml:space="preserve">Avg WTP (PKR)</t>
  </si>
  <si>
    <t xml:space="preserve">18–24</t>
  </si>
  <si>
    <t xml:space="preserve">28%</t>
  </si>
  <si>
    <t xml:space="preserve">Lahore</t>
  </si>
  <si>
    <t xml:space="preserve">Student</t>
  </si>
  <si>
    <t xml:space="preserve">PKR 445</t>
  </si>
  <si>
    <t xml:space="preserve">25–34</t>
  </si>
  <si>
    <t xml:space="preserve">35%</t>
  </si>
  <si>
    <t xml:space="preserve">Karachi</t>
  </si>
  <si>
    <t xml:space="preserve">Corporate Professional</t>
  </si>
  <si>
    <t xml:space="preserve">PKR 510</t>
  </si>
  <si>
    <t xml:space="preserve">35–44</t>
  </si>
  <si>
    <t xml:space="preserve">Islamabad</t>
  </si>
  <si>
    <t xml:space="preserve">Entrepreneur</t>
  </si>
  <si>
    <t xml:space="preserve">PKR 488</t>
  </si>
  <si>
    <t xml:space="preserve">45–54</t>
  </si>
  <si>
    <t xml:space="preserve">20%</t>
  </si>
  <si>
    <t xml:space="preserve">Government Employee</t>
  </si>
  <si>
    <t xml:space="preserve">PKR 460</t>
  </si>
  <si>
    <t xml:space="preserve">55+</t>
  </si>
  <si>
    <t xml:space="preserve">12%</t>
  </si>
  <si>
    <t xml:space="preserve">Other</t>
  </si>
  <si>
    <t xml:space="preserve">PKR 420</t>
  </si>
  <si>
    <t xml:space="preserve">SHELF PLACEMENT PRIORITY MATRIX</t>
  </si>
  <si>
    <t xml:space="preserve">Retail Format</t>
  </si>
  <si>
    <t xml:space="preserve">Footfall Score</t>
  </si>
  <si>
    <t xml:space="preserve">Demo Match</t>
  </si>
  <si>
    <t xml:space="preserve">Impulse Score</t>
  </si>
  <si>
    <t xml:space="preserve">Competition</t>
  </si>
  <si>
    <t xml:space="preserve">PRIORITY SCORE</t>
  </si>
  <si>
    <t xml:space="preserve">Recommendation</t>
  </si>
  <si>
    <t xml:space="preserve">Convenience Store</t>
  </si>
  <si>
    <t xml:space="preserve">⭐ HIGHEST PRIORITY</t>
  </si>
  <si>
    <t xml:space="preserve">Petrol Station</t>
  </si>
  <si>
    <t xml:space="preserve">⭐ HIGH PRIORITY</t>
  </si>
  <si>
    <t xml:space="preserve">Pharmacy</t>
  </si>
  <si>
    <t xml:space="preserve">Medium Priority</t>
  </si>
  <si>
    <t xml:space="preserve">Online</t>
  </si>
  <si>
    <t xml:space="preserve">Supermarket</t>
  </si>
  <si>
    <t xml:space="preserve">Lower Priority</t>
  </si>
  <si>
    <t xml:space="preserve">PRICE SENSITIVITY ANALYSIS — VELO PAKISTAN</t>
  </si>
  <si>
    <t xml:space="preserve">Willingness-to-Pay Distribution &amp; Income Segmentation</t>
  </si>
  <si>
    <t xml:space="preserve">WTP DISTRIBUTION TABLE</t>
  </si>
  <si>
    <t xml:space="preserve">Price Point (PKR)</t>
  </si>
  <si>
    <t xml:space="preserve">Respondents</t>
  </si>
  <si>
    <t xml:space="preserve">Cumulative %</t>
  </si>
  <si>
    <t xml:space="preserve">Revenue Potential (PKR)</t>
  </si>
  <si>
    <t xml:space="preserve">Segment</t>
  </si>
  <si>
    <t xml:space="preserve">Trial / Entry</t>
  </si>
  <si>
    <t xml:space="preserve">Value Seekers</t>
  </si>
  <si>
    <t xml:space="preserve">Core Segment</t>
  </si>
  <si>
    <t xml:space="preserve">Core Segment ⭐</t>
  </si>
  <si>
    <t xml:space="preserve">Mid-Premium</t>
  </si>
  <si>
    <t xml:space="preserve">Premium</t>
  </si>
  <si>
    <t xml:space="preserve">Premium+</t>
  </si>
  <si>
    <t xml:space="preserve">Luxury</t>
  </si>
  <si>
    <t xml:space="preserve">WTP BY AGE GROUP</t>
  </si>
  <si>
    <t xml:space="preserve">Avg Monthly Spend (PKR)</t>
  </si>
  <si>
    <t xml:space="preserve">Purchase Freq / Month</t>
  </si>
  <si>
    <t xml:space="preserve">% Users Retained</t>
  </si>
  <si>
    <t xml:space="preserve">71%</t>
  </si>
  <si>
    <t xml:space="preserve">78%</t>
  </si>
  <si>
    <t xml:space="preserve">75%</t>
  </si>
  <si>
    <t xml:space="preserve">68%</t>
  </si>
  <si>
    <t xml:space="preserve">55%</t>
  </si>
  <si>
    <t xml:space="preserve">FLAVOUR PORTFOLIO &amp; PROMOTIONAL CALENDAR</t>
  </si>
  <si>
    <t xml:space="preserve">Monthly Demand Index &amp; Recommended Activation Windows</t>
  </si>
  <si>
    <t xml:space="preserve">FLAVOUR PERFORMANCE TABLE</t>
  </si>
  <si>
    <t xml:space="preserve">Flavour</t>
  </si>
  <si>
    <t xml:space="preserve">Overall Share %</t>
  </si>
  <si>
    <t xml:space="preserve">18–24 Share</t>
  </si>
  <si>
    <t xml:space="preserve">25–34 Share</t>
  </si>
  <si>
    <t xml:space="preserve">35–44 Share</t>
  </si>
  <si>
    <t xml:space="preserve">Recommended Channel</t>
  </si>
  <si>
    <t xml:space="preserve">Priority</t>
  </si>
  <si>
    <t xml:space="preserve">Mint</t>
  </si>
  <si>
    <t xml:space="preserve">40%</t>
  </si>
  <si>
    <t xml:space="preserve">38%</t>
  </si>
  <si>
    <t xml:space="preserve">42%</t>
  </si>
  <si>
    <t xml:space="preserve">39%</t>
  </si>
  <si>
    <t xml:space="preserve">All Channels</t>
  </si>
  <si>
    <t xml:space="preserve">Hero SKU ⭐</t>
  </si>
  <si>
    <t xml:space="preserve">Berry</t>
  </si>
  <si>
    <t xml:space="preserve">22%</t>
  </si>
  <si>
    <t xml:space="preserve">15%</t>
  </si>
  <si>
    <t xml:space="preserve">Convenience / Online</t>
  </si>
  <si>
    <t xml:space="preserve">Youth Focus</t>
  </si>
  <si>
    <t xml:space="preserve">Citrus</t>
  </si>
  <si>
    <t xml:space="preserve">18%</t>
  </si>
  <si>
    <t xml:space="preserve">Pharmacy / Online</t>
  </si>
  <si>
    <t xml:space="preserve">Health Segment</t>
  </si>
  <si>
    <t xml:space="preserve">Tropical</t>
  </si>
  <si>
    <t xml:space="preserve">10%</t>
  </si>
  <si>
    <t xml:space="preserve">13%</t>
  </si>
  <si>
    <t xml:space="preserve">14%</t>
  </si>
  <si>
    <t xml:space="preserve">Seasonal</t>
  </si>
  <si>
    <t xml:space="preserve">Classic</t>
  </si>
  <si>
    <t xml:space="preserve">8%</t>
  </si>
  <si>
    <t xml:space="preserve">7%</t>
  </si>
  <si>
    <t xml:space="preserve">5%</t>
  </si>
  <si>
    <t xml:space="preserve">Niche</t>
  </si>
  <si>
    <t xml:space="preserve">MONTHLY DEMAND INDEX &amp; PROMO CALENDAR</t>
  </si>
  <si>
    <t xml:space="preserve">Month</t>
  </si>
  <si>
    <t xml:space="preserve">Demand Index</t>
  </si>
  <si>
    <t xml:space="preserve">vs Baseline</t>
  </si>
  <si>
    <t xml:space="preserve">Promo Window</t>
  </si>
  <si>
    <t xml:space="preserve">Strategy Note</t>
  </si>
  <si>
    <t xml:space="preserve">Jan</t>
  </si>
  <si>
    <t xml:space="preserve">Normal</t>
  </si>
  <si>
    <t xml:space="preserve">Feb</t>
  </si>
  <si>
    <t xml:space="preserve">Low</t>
  </si>
  <si>
    <t xml:space="preserve">Mar</t>
  </si>
  <si>
    <t xml:space="preserve">Pre-Ramadan</t>
  </si>
  <si>
    <t xml:space="preserve">Apr</t>
  </si>
  <si>
    <t xml:space="preserve">⚠️ RAMADAN — reduce stock</t>
  </si>
  <si>
    <t xml:space="preserve">May</t>
  </si>
  <si>
    <t xml:space="preserve">✅ ACTIVATE</t>
  </si>
  <si>
    <t xml:space="preserve">Post-Ramadan surge</t>
  </si>
  <si>
    <t xml:space="preserve">Jun</t>
  </si>
  <si>
    <t xml:space="preserve">Summer peak begins</t>
  </si>
  <si>
    <t xml:space="preserve">Jul</t>
  </si>
  <si>
    <t xml:space="preserve">Peak demand</t>
  </si>
  <si>
    <t xml:space="preserve">Aug</t>
  </si>
  <si>
    <t xml:space="preserve">Sep</t>
  </si>
  <si>
    <t xml:space="preserve">Back-to-work</t>
  </si>
  <si>
    <t xml:space="preserve">Oct</t>
  </si>
  <si>
    <t xml:space="preserve">Steady</t>
  </si>
  <si>
    <t xml:space="preserve">Nov</t>
  </si>
  <si>
    <t xml:space="preserve">Pre-winter promo</t>
  </si>
  <si>
    <t xml:space="preserve">Dec</t>
  </si>
  <si>
    <t xml:space="preserve">Wind-down</t>
  </si>
  <si>
    <t xml:space="preserve">STRATEGIC RECOMMENDATIONS — VELO PAKISTAN</t>
  </si>
  <si>
    <t xml:space="preserve">Data-Driven Action Plan for BAT Commercial Teams</t>
  </si>
  <si>
    <t xml:space="preserve">#</t>
  </si>
  <si>
    <t xml:space="preserve">Area</t>
  </si>
  <si>
    <t xml:space="preserve">Data Basis</t>
  </si>
  <si>
    <t xml:space="preserve">Timeline</t>
  </si>
  <si>
    <t xml:space="preserve">Target Segment</t>
  </si>
  <si>
    <t xml:space="preserve">Focus trade marketing on 25–34 corporate professionals in Karachi &amp; Lahore</t>
  </si>
  <si>
    <t xml:space="preserve">35% adoption rate, highest WTP PKR 510</t>
  </si>
  <si>
    <t xml:space="preserve">🔴 HIGH</t>
  </si>
  <si>
    <t xml:space="preserve">Immediate</t>
  </si>
  <si>
    <t xml:space="preserve">Pricing</t>
  </si>
  <si>
    <t xml:space="preserve">Maintain PKR 450–500 hero price; introduce PKR 350 trial pack for acquisition</t>
  </si>
  <si>
    <t xml:space="preserve">47% of respondents WTP is in 450–500 band</t>
  </si>
  <si>
    <t xml:space="preserve">Q3 2026</t>
  </si>
  <si>
    <t xml:space="preserve">Shelf Placement</t>
  </si>
  <si>
    <t xml:space="preserve">Prioritise convenience stores and petrol stations for Velo fixtures</t>
  </si>
  <si>
    <t xml:space="preserve">Composite priority score 8.25 and 7.75 respectively</t>
  </si>
  <si>
    <t xml:space="preserve">Flavour Portfolio</t>
  </si>
  <si>
    <t xml:space="preserve">Expand Berry variant in student areas; push Citrus in pharmacy channel</t>
  </si>
  <si>
    <t xml:space="preserve">Berry: 30% preference in 18–24; Citrus: 22% in 35–44</t>
  </si>
  <si>
    <t xml:space="preserve">🟡 MED</t>
  </si>
  <si>
    <t xml:space="preserve">Q4 2026</t>
  </si>
  <si>
    <t xml:space="preserve">Promotions</t>
  </si>
  <si>
    <t xml:space="preserve">Run major activations in May, September, November; avoid April</t>
  </si>
  <si>
    <t xml:space="preserve">Demand index: Apr=72 (Ramadan dip); May=100, Sep=105, Nov=95</t>
  </si>
  <si>
    <t xml:space="preserve">Ongoing</t>
  </si>
  <si>
    <t xml:space="preserve">Digital</t>
  </si>
  <si>
    <t xml:space="preserve">Invest in Instagram/LinkedIn ads targeting 18–34 urban segment</t>
  </si>
  <si>
    <t xml:space="preserve">Online channel preferred by 18% of users; growing fast</t>
  </si>
  <si>
    <t xml:space="preserve">NPS Retention</t>
  </si>
  <si>
    <t xml:space="preserve">Convert 'Passive' NPS users via loyalty programme or bundle offers</t>
  </si>
  <si>
    <t xml:space="preserve">NPS Score +42; converting 20% of Passives adds +8 NPS points</t>
  </si>
  <si>
    <t xml:space="preserve">🟢 LOW</t>
  </si>
  <si>
    <t xml:space="preserve">Q1 2027</t>
  </si>
  <si>
    <t xml:space="preserve">Partner with pharmacy chains for Velo placement near nicotine cessation products</t>
  </si>
  <si>
    <t xml:space="preserve">Health concerns: #1 reason for switching (35% of users)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</si>
</sst>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#,##0"/>
    <numFmt numFmtId="167" formatCode="\+0;\-0;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44444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0"/>
      <color rgb="FF2E6DA4"/>
      <name val="Arial"/>
      <family val="0"/>
      <charset val="1"/>
    </font>
    <font>
      <b val="true"/>
      <sz val="20"/>
      <color rgb="FF2E8B57"/>
      <name val="Arial"/>
      <family val="0"/>
      <charset val="1"/>
    </font>
    <font>
      <b val="true"/>
      <sz val="20"/>
      <color rgb="FFD4A017"/>
      <name val="Arial"/>
      <family val="0"/>
      <charset val="1"/>
    </font>
    <font>
      <b val="true"/>
      <sz val="20"/>
      <color rgb="FF9B1D20"/>
      <name val="Arial"/>
      <family val="0"/>
      <charset val="1"/>
    </font>
    <font>
      <b val="true"/>
      <sz val="20"/>
      <color rgb="FF6B0F12"/>
      <name val="Arial"/>
      <family val="0"/>
      <charset val="1"/>
    </font>
    <font>
      <i val="true"/>
      <sz val="8"/>
      <color rgb="FF444444"/>
      <name val="Arial"/>
      <family val="0"/>
      <charset val="1"/>
    </font>
    <font>
      <b val="true"/>
      <sz val="11"/>
      <color rgb="FF9B1D2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9B1D20"/>
      <name val="Arial"/>
      <family val="0"/>
      <charset val="1"/>
    </font>
    <font>
      <b val="true"/>
      <sz val="10"/>
      <color rgb="FF2E8B57"/>
      <name val="Arial"/>
      <family val="0"/>
      <charset val="1"/>
    </font>
    <font>
      <b val="true"/>
      <sz val="10"/>
      <color rgb="FF2E6DA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D4A017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9B1D20"/>
        <bgColor rgb="FF993366"/>
      </patternFill>
    </fill>
    <fill>
      <patternFill patternType="solid">
        <fgColor rgb="FFF5F5F5"/>
        <bgColor rgb="FFF9F9F9"/>
      </patternFill>
    </fill>
    <fill>
      <patternFill patternType="solid">
        <fgColor rgb="FF2E6DA4"/>
        <bgColor rgb="FF4A7EBB"/>
      </patternFill>
    </fill>
    <fill>
      <patternFill patternType="solid">
        <fgColor rgb="FF2E8B57"/>
        <bgColor rgb="FF008080"/>
      </patternFill>
    </fill>
    <fill>
      <patternFill patternType="solid">
        <fgColor rgb="FFD4A017"/>
        <bgColor rgb="FFFFCC00"/>
      </patternFill>
    </fill>
    <fill>
      <patternFill patternType="solid">
        <fgColor rgb="FF6B0F12"/>
        <bgColor rgb="FF800000"/>
      </patternFill>
    </fill>
    <fill>
      <patternFill patternType="solid">
        <fgColor rgb="FFFFFFFF"/>
        <bgColor rgb="FFF9F9F9"/>
      </patternFill>
    </fill>
    <fill>
      <patternFill patternType="solid">
        <fgColor rgb="FFFFE5E5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B0F12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F5F5F5"/>
      <rgbColor rgb="FF660066"/>
      <rgbColor rgb="FFFF8080"/>
      <rgbColor rgb="FF2E6DA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E5E5"/>
      <rgbColor rgb="FF4F81BD"/>
      <rgbColor rgb="FF33CCCC"/>
      <rgbColor rgb="FF99CC00"/>
      <rgbColor rgb="FFFFCC00"/>
      <rgbColor rgb="FFD4A017"/>
      <rgbColor rgb="FFFF6600"/>
      <rgbColor rgb="FF4A7EBB"/>
      <rgbColor rgb="FF969696"/>
      <rgbColor rgb="FF003366"/>
      <rgbColor rgb="FF2E8B57"/>
      <rgbColor rgb="FF003300"/>
      <rgbColor rgb="FF1A1A1A"/>
      <rgbColor rgb="FF9B1D2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Willingness-to-Pay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'Price Sensitivity'!B4</c:f>
              <c:strCache>
                <c:ptCount val="1"/>
                <c:pt idx="0">
                  <c:v>Respondents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'Price Sensitivity'!$A$5:$A$12</c:f>
              <c:strCache>
                <c:ptCount val="8"/>
                <c:pt idx="0">
                  <c:v>350</c:v>
                </c:pt>
                <c:pt idx="1">
                  <c:v>400</c:v>
                </c:pt>
                <c:pt idx="2">
                  <c:v>450</c:v>
                </c:pt>
                <c:pt idx="3">
                  <c:v>500</c:v>
                </c:pt>
                <c:pt idx="4">
                  <c:v>550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</c:strCache>
            </c:strRef>
          </c:cat>
          <c:val>
            <c:numRef>
              <c:f>'Price Sensitivity'!$B$5:$B$12</c:f>
              <c:numCache>
                <c:formatCode>General</c:formatCode>
                <c:ptCount val="8"/>
                <c:pt idx="0">
                  <c:v>25</c:v>
                </c:pt>
                <c:pt idx="1">
                  <c:v>75</c:v>
                </c:pt>
                <c:pt idx="2">
                  <c:v>110</c:v>
                </c:pt>
                <c:pt idx="3">
                  <c:v>125</c:v>
                </c:pt>
                <c:pt idx="4">
                  <c:v>75</c:v>
                </c:pt>
                <c:pt idx="5">
                  <c:v>50</c:v>
                </c:pt>
                <c:pt idx="6">
                  <c:v>25</c:v>
                </c:pt>
                <c:pt idx="7">
                  <c:v>15</c:v>
                </c:pt>
              </c:numCache>
            </c:numRef>
          </c:val>
        </c:ser>
        <c:gapWidth val="150"/>
        <c:overlap val="0"/>
        <c:axId val="24177745"/>
        <c:axId val="19140315"/>
      </c:barChart>
      <c:catAx>
        <c:axId val="241777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Price Point (PKR)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140315"/>
        <c:crosses val="autoZero"/>
        <c:auto val="1"/>
        <c:lblAlgn val="ctr"/>
        <c:lblOffset val="100"/>
        <c:noMultiLvlLbl val="0"/>
      </c:catAx>
      <c:valAx>
        <c:axId val="191403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Respondents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1777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Demand Index (Base=100)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'Flavour &amp; Promo Strategy'!B12</c:f>
              <c:strCache>
                <c:ptCount val="1"/>
                <c:pt idx="0">
                  <c:v>Demand Index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'Flavour &amp; Promo Strategy'!$A$13:$A$24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'Flavour &amp; Promo Strategy'!$B$13:$B$24</c:f>
              <c:numCache>
                <c:formatCode>General</c:formatCode>
                <c:ptCount val="12"/>
                <c:pt idx="0">
                  <c:v>92</c:v>
                </c:pt>
                <c:pt idx="1">
                  <c:v>88</c:v>
                </c:pt>
                <c:pt idx="2">
                  <c:v>95</c:v>
                </c:pt>
                <c:pt idx="3">
                  <c:v>72</c:v>
                </c:pt>
                <c:pt idx="4">
                  <c:v>100</c:v>
                </c:pt>
                <c:pt idx="5">
                  <c:v>108</c:v>
                </c:pt>
                <c:pt idx="6">
                  <c:v>112</c:v>
                </c:pt>
                <c:pt idx="7">
                  <c:v>110</c:v>
                </c:pt>
                <c:pt idx="8">
                  <c:v>105</c:v>
                </c:pt>
                <c:pt idx="9">
                  <c:v>98</c:v>
                </c:pt>
                <c:pt idx="10">
                  <c:v>95</c:v>
                </c:pt>
                <c:pt idx="11">
                  <c:v>90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9774102"/>
        <c:axId val="85909826"/>
      </c:lineChart>
      <c:catAx>
        <c:axId val="997741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909826"/>
        <c:crosses val="autoZero"/>
        <c:auto val="1"/>
        <c:lblAlgn val="ctr"/>
        <c:lblOffset val="100"/>
        <c:noMultiLvlLbl val="0"/>
      </c:catAx>
      <c:valAx>
        <c:axId val="859098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Demand Index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7741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131040</xdr:rowOff>
    </xdr:from>
    <xdr:to>
      <xdr:col>14</xdr:col>
      <xdr:colOff>210600</xdr:colOff>
      <xdr:row>20</xdr:row>
      <xdr:rowOff>720</xdr:rowOff>
    </xdr:to>
    <xdr:graphicFrame>
      <xdr:nvGraphicFramePr>
        <xdr:cNvPr id="0" name="Chart 1"/>
        <xdr:cNvGraphicFramePr/>
      </xdr:nvGraphicFramePr>
      <xdr:xfrm>
        <a:off x="7612560" y="57168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1274040</xdr:rowOff>
    </xdr:from>
    <xdr:to>
      <xdr:col>16</xdr:col>
      <xdr:colOff>427320</xdr:colOff>
      <xdr:row>9</xdr:row>
      <xdr:rowOff>41040</xdr:rowOff>
    </xdr:to>
    <xdr:graphicFrame>
      <xdr:nvGraphicFramePr>
        <xdr:cNvPr id="1" name="Chart 1"/>
        <xdr:cNvGraphicFramePr/>
      </xdr:nvGraphicFramePr>
      <xdr:xfrm>
        <a:off x="6625440" y="190512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6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8" min="8" style="0" width="4"/>
    <col collapsed="false" customWidth="true" hidden="false" outlineLevel="0" max="10" min="9" style="0" width="16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4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2</v>
      </c>
      <c r="B4" s="3"/>
      <c r="C4" s="4" t="s">
        <v>3</v>
      </c>
      <c r="D4" s="4"/>
      <c r="E4" s="5" t="s">
        <v>4</v>
      </c>
      <c r="F4" s="5"/>
      <c r="G4" s="6" t="s">
        <v>5</v>
      </c>
      <c r="H4" s="6"/>
      <c r="I4" s="7" t="s">
        <v>6</v>
      </c>
      <c r="J4" s="7"/>
    </row>
    <row r="5" customFormat="false" ht="31.5" hidden="false" customHeight="true" outlineLevel="0" collapsed="false">
      <c r="A5" s="8" t="s">
        <v>7</v>
      </c>
      <c r="B5" s="8"/>
      <c r="C5" s="9" t="s">
        <v>8</v>
      </c>
      <c r="D5" s="9"/>
      <c r="E5" s="10" t="s">
        <v>9</v>
      </c>
      <c r="F5" s="10"/>
      <c r="G5" s="11" t="s">
        <v>10</v>
      </c>
      <c r="H5" s="11"/>
      <c r="I5" s="12" t="s">
        <v>11</v>
      </c>
      <c r="J5" s="12"/>
    </row>
    <row r="6" customFormat="false" ht="19.5" hidden="false" customHeight="true" outlineLevel="0" collapsed="false">
      <c r="A6" s="13" t="s">
        <v>12</v>
      </c>
      <c r="B6" s="13"/>
      <c r="C6" s="13" t="s">
        <v>13</v>
      </c>
      <c r="D6" s="13"/>
      <c r="E6" s="13" t="s">
        <v>14</v>
      </c>
      <c r="F6" s="13"/>
      <c r="G6" s="13" t="s">
        <v>15</v>
      </c>
      <c r="H6" s="13"/>
      <c r="I6" s="13" t="s">
        <v>16</v>
      </c>
      <c r="J6" s="13"/>
    </row>
    <row r="7" customFormat="false" ht="18" hidden="false" customHeight="true" outlineLevel="0" collapsed="false"/>
    <row r="8" customFormat="false" ht="15" hidden="false" customHeight="false" outlineLevel="0" collapsed="false">
      <c r="A8" s="14" t="s">
        <v>17</v>
      </c>
    </row>
    <row r="9" customFormat="false" ht="21.75" hidden="false" customHeight="true" outlineLevel="0" collapsed="false">
      <c r="A9" s="15" t="s">
        <v>18</v>
      </c>
      <c r="B9" s="15" t="s">
        <v>19</v>
      </c>
      <c r="C9" s="15" t="s">
        <v>20</v>
      </c>
      <c r="D9" s="15" t="s">
        <v>21</v>
      </c>
      <c r="E9" s="15" t="s">
        <v>22</v>
      </c>
    </row>
    <row r="10" customFormat="false" ht="15" hidden="false" customHeight="false" outlineLevel="0" collapsed="false">
      <c r="A10" s="16" t="s">
        <v>23</v>
      </c>
      <c r="B10" s="16" t="s">
        <v>24</v>
      </c>
      <c r="C10" s="16" t="s">
        <v>25</v>
      </c>
      <c r="D10" s="16" t="s">
        <v>26</v>
      </c>
      <c r="E10" s="16" t="s">
        <v>27</v>
      </c>
    </row>
    <row r="11" customFormat="false" ht="23.85" hidden="false" customHeight="false" outlineLevel="0" collapsed="false">
      <c r="A11" s="17" t="s">
        <v>28</v>
      </c>
      <c r="B11" s="17" t="s">
        <v>29</v>
      </c>
      <c r="C11" s="17" t="s">
        <v>30</v>
      </c>
      <c r="D11" s="17" t="s">
        <v>31</v>
      </c>
      <c r="E11" s="17" t="s">
        <v>32</v>
      </c>
    </row>
    <row r="12" customFormat="false" ht="15" hidden="false" customHeight="false" outlineLevel="0" collapsed="false">
      <c r="A12" s="16" t="s">
        <v>33</v>
      </c>
      <c r="B12" s="16" t="s">
        <v>8</v>
      </c>
      <c r="C12" s="16" t="s">
        <v>34</v>
      </c>
      <c r="D12" s="16" t="s">
        <v>35</v>
      </c>
      <c r="E12" s="16" t="s">
        <v>36</v>
      </c>
    </row>
    <row r="13" customFormat="false" ht="23.85" hidden="false" customHeight="false" outlineLevel="0" collapsed="false">
      <c r="A13" s="18" t="s">
        <v>37</v>
      </c>
      <c r="B13" s="18" t="s">
        <v>38</v>
      </c>
      <c r="C13" s="18" t="s">
        <v>30</v>
      </c>
      <c r="D13" s="18" t="s">
        <v>39</v>
      </c>
      <c r="E13" s="18" t="s">
        <v>40</v>
      </c>
    </row>
    <row r="14" customFormat="false" ht="15" hidden="false" customHeight="false" outlineLevel="0" collapsed="false">
      <c r="A14" s="16" t="s">
        <v>41</v>
      </c>
      <c r="B14" s="16" t="s">
        <v>42</v>
      </c>
      <c r="C14" s="16" t="s">
        <v>25</v>
      </c>
      <c r="D14" s="16" t="s">
        <v>43</v>
      </c>
      <c r="E14" s="16" t="s">
        <v>44</v>
      </c>
    </row>
    <row r="16" customFormat="false" ht="15" hidden="false" customHeight="false" outlineLevel="0" collapsed="false">
      <c r="A16" s="14" t="s">
        <v>45</v>
      </c>
    </row>
    <row r="17" customFormat="false" ht="26.85" hidden="false" customHeight="false" outlineLevel="0" collapsed="false">
      <c r="A17" s="15" t="s">
        <v>46</v>
      </c>
      <c r="B17" s="15" t="s">
        <v>47</v>
      </c>
      <c r="C17" s="15" t="s">
        <v>48</v>
      </c>
      <c r="D17" s="15" t="s">
        <v>49</v>
      </c>
      <c r="E17" s="15" t="s">
        <v>50</v>
      </c>
      <c r="F17" s="15" t="s">
        <v>51</v>
      </c>
      <c r="G17" s="15" t="s">
        <v>52</v>
      </c>
    </row>
    <row r="18" customFormat="false" ht="15" hidden="false" customHeight="false" outlineLevel="0" collapsed="false">
      <c r="A18" s="16" t="s">
        <v>53</v>
      </c>
      <c r="B18" s="16" t="n">
        <v>9</v>
      </c>
      <c r="C18" s="16" t="n">
        <v>8</v>
      </c>
      <c r="D18" s="16" t="n">
        <v>9</v>
      </c>
      <c r="E18" s="16" t="n">
        <v>7</v>
      </c>
      <c r="F18" s="16" t="n">
        <f aca="false">AVERAGE(B18:E18)</f>
        <v>8.25</v>
      </c>
      <c r="G18" s="19" t="s">
        <v>54</v>
      </c>
    </row>
    <row r="19" customFormat="false" ht="15" hidden="false" customHeight="false" outlineLevel="0" collapsed="false">
      <c r="A19" s="18" t="s">
        <v>55</v>
      </c>
      <c r="B19" s="18" t="n">
        <v>8</v>
      </c>
      <c r="C19" s="18" t="n">
        <v>7</v>
      </c>
      <c r="D19" s="18" t="n">
        <v>8</v>
      </c>
      <c r="E19" s="18" t="n">
        <v>6</v>
      </c>
      <c r="F19" s="18" t="n">
        <f aca="false">AVERAGE(B19:E19)</f>
        <v>7.25</v>
      </c>
      <c r="G19" s="20" t="s">
        <v>56</v>
      </c>
    </row>
    <row r="20" customFormat="false" ht="15" hidden="false" customHeight="false" outlineLevel="0" collapsed="false">
      <c r="A20" s="16" t="s">
        <v>57</v>
      </c>
      <c r="B20" s="16" t="n">
        <v>6</v>
      </c>
      <c r="C20" s="16" t="n">
        <v>9</v>
      </c>
      <c r="D20" s="16" t="n">
        <v>5</v>
      </c>
      <c r="E20" s="16" t="n">
        <v>8</v>
      </c>
      <c r="F20" s="16" t="n">
        <f aca="false">AVERAGE(B20:E20)</f>
        <v>7</v>
      </c>
      <c r="G20" s="16" t="s">
        <v>58</v>
      </c>
    </row>
    <row r="21" customFormat="false" ht="15" hidden="false" customHeight="false" outlineLevel="0" collapsed="false">
      <c r="A21" s="18" t="s">
        <v>59</v>
      </c>
      <c r="B21" s="18" t="n">
        <v>5</v>
      </c>
      <c r="C21" s="18" t="n">
        <v>9</v>
      </c>
      <c r="D21" s="18" t="n">
        <v>3</v>
      </c>
      <c r="E21" s="18" t="n">
        <v>8</v>
      </c>
      <c r="F21" s="18" t="n">
        <f aca="false">AVERAGE(B21:E21)</f>
        <v>6.25</v>
      </c>
      <c r="G21" s="18" t="s">
        <v>58</v>
      </c>
    </row>
    <row r="22" customFormat="false" ht="15" hidden="false" customHeight="false" outlineLevel="0" collapsed="false">
      <c r="A22" s="16" t="s">
        <v>60</v>
      </c>
      <c r="B22" s="16" t="n">
        <v>7</v>
      </c>
      <c r="C22" s="16" t="n">
        <v>6</v>
      </c>
      <c r="D22" s="16" t="n">
        <v>6</v>
      </c>
      <c r="E22" s="16" t="n">
        <v>5</v>
      </c>
      <c r="F22" s="16" t="n">
        <f aca="false">AVERAGE(B22:E22)</f>
        <v>6</v>
      </c>
      <c r="G22" s="16" t="s">
        <v>61</v>
      </c>
    </row>
  </sheetData>
  <mergeCells count="17">
    <mergeCell ref="A1:J1"/>
    <mergeCell ref="A2:J2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5" min="3" style="0" width="22"/>
    <col collapsed="false" customWidth="true" hidden="false" outlineLevel="0" max="6" min="6" style="0" width="4"/>
    <col collapsed="false" customWidth="true" hidden="false" outlineLevel="0" max="7" min="7" style="0" width="18"/>
  </cols>
  <sheetData>
    <row r="1" customFormat="false" ht="19.7" hidden="false" customHeight="true" outlineLevel="0" collapsed="false">
      <c r="A1" s="1" t="s">
        <v>62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63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14" t="s">
        <v>64</v>
      </c>
    </row>
    <row r="4" customFormat="false" ht="26.85" hidden="false" customHeight="false" outlineLevel="0" collapsed="false">
      <c r="A4" s="15" t="s">
        <v>65</v>
      </c>
      <c r="B4" s="15" t="s">
        <v>66</v>
      </c>
      <c r="C4" s="15" t="s">
        <v>67</v>
      </c>
      <c r="D4" s="15" t="s">
        <v>68</v>
      </c>
      <c r="E4" s="15" t="s">
        <v>69</v>
      </c>
    </row>
    <row r="5" customFormat="false" ht="15" hidden="false" customHeight="false" outlineLevel="0" collapsed="false">
      <c r="A5" s="18" t="n">
        <v>350</v>
      </c>
      <c r="B5" s="18" t="n">
        <v>25</v>
      </c>
      <c r="C5" s="21" t="n">
        <f aca="false">B5/500</f>
        <v>0.05</v>
      </c>
      <c r="D5" s="22" t="n">
        <f aca="false">A5*B5</f>
        <v>8750</v>
      </c>
      <c r="E5" s="18" t="s">
        <v>70</v>
      </c>
    </row>
    <row r="6" customFormat="false" ht="15" hidden="false" customHeight="false" outlineLevel="0" collapsed="false">
      <c r="A6" s="16" t="n">
        <v>400</v>
      </c>
      <c r="B6" s="16" t="n">
        <v>75</v>
      </c>
      <c r="C6" s="23" t="n">
        <f aca="false">C5+B6/500</f>
        <v>0.2</v>
      </c>
      <c r="D6" s="24" t="n">
        <f aca="false">A6*B6</f>
        <v>30000</v>
      </c>
      <c r="E6" s="16" t="s">
        <v>71</v>
      </c>
    </row>
    <row r="7" customFormat="false" ht="15" hidden="false" customHeight="false" outlineLevel="0" collapsed="false">
      <c r="A7" s="18" t="n">
        <v>450</v>
      </c>
      <c r="B7" s="18" t="n">
        <v>110</v>
      </c>
      <c r="C7" s="21" t="n">
        <f aca="false">C6+B7/500</f>
        <v>0.42</v>
      </c>
      <c r="D7" s="22" t="n">
        <f aca="false">A7*B7</f>
        <v>49500</v>
      </c>
      <c r="E7" s="18" t="s">
        <v>72</v>
      </c>
    </row>
    <row r="8" customFormat="false" ht="15" hidden="false" customHeight="false" outlineLevel="0" collapsed="false">
      <c r="A8" s="25" t="n">
        <v>500</v>
      </c>
      <c r="B8" s="25" t="n">
        <v>125</v>
      </c>
      <c r="C8" s="26" t="n">
        <f aca="false">C7+B8/500</f>
        <v>0.67</v>
      </c>
      <c r="D8" s="27" t="n">
        <f aca="false">A8*B8</f>
        <v>62500</v>
      </c>
      <c r="E8" s="25" t="s">
        <v>73</v>
      </c>
    </row>
    <row r="9" customFormat="false" ht="15" hidden="false" customHeight="false" outlineLevel="0" collapsed="false">
      <c r="A9" s="18" t="n">
        <v>550</v>
      </c>
      <c r="B9" s="18" t="n">
        <v>75</v>
      </c>
      <c r="C9" s="21" t="n">
        <f aca="false">C8+B9/500</f>
        <v>0.82</v>
      </c>
      <c r="D9" s="22" t="n">
        <f aca="false">A9*B9</f>
        <v>41250</v>
      </c>
      <c r="E9" s="18" t="s">
        <v>74</v>
      </c>
    </row>
    <row r="10" customFormat="false" ht="15" hidden="false" customHeight="false" outlineLevel="0" collapsed="false">
      <c r="A10" s="16" t="n">
        <v>600</v>
      </c>
      <c r="B10" s="16" t="n">
        <v>50</v>
      </c>
      <c r="C10" s="23" t="n">
        <f aca="false">C9+B10/500</f>
        <v>0.92</v>
      </c>
      <c r="D10" s="24" t="n">
        <f aca="false">A10*B10</f>
        <v>30000</v>
      </c>
      <c r="E10" s="16" t="s">
        <v>75</v>
      </c>
    </row>
    <row r="11" customFormat="false" ht="15" hidden="false" customHeight="false" outlineLevel="0" collapsed="false">
      <c r="A11" s="18" t="n">
        <v>700</v>
      </c>
      <c r="B11" s="18" t="n">
        <v>25</v>
      </c>
      <c r="C11" s="21" t="n">
        <f aca="false">C10+B11/500</f>
        <v>0.97</v>
      </c>
      <c r="D11" s="22" t="n">
        <f aca="false">A11*B11</f>
        <v>17500</v>
      </c>
      <c r="E11" s="18" t="s">
        <v>76</v>
      </c>
    </row>
    <row r="12" customFormat="false" ht="15" hidden="false" customHeight="false" outlineLevel="0" collapsed="false">
      <c r="A12" s="16" t="n">
        <v>800</v>
      </c>
      <c r="B12" s="16" t="n">
        <v>15</v>
      </c>
      <c r="C12" s="23" t="n">
        <f aca="false">C11+B12/500</f>
        <v>1</v>
      </c>
      <c r="D12" s="24" t="n">
        <f aca="false">A12*B12</f>
        <v>12000</v>
      </c>
      <c r="E12" s="16" t="s">
        <v>77</v>
      </c>
    </row>
    <row r="15" customFormat="false" ht="15" hidden="false" customHeight="false" outlineLevel="0" collapsed="false">
      <c r="A15" s="14" t="s">
        <v>78</v>
      </c>
    </row>
    <row r="16" customFormat="false" ht="26.85" hidden="false" customHeight="false" outlineLevel="0" collapsed="false">
      <c r="A16" s="28" t="s">
        <v>18</v>
      </c>
      <c r="B16" s="28" t="s">
        <v>22</v>
      </c>
      <c r="C16" s="28" t="s">
        <v>79</v>
      </c>
      <c r="D16" s="28" t="s">
        <v>80</v>
      </c>
      <c r="E16" s="28" t="s">
        <v>81</v>
      </c>
    </row>
    <row r="17" customFormat="false" ht="15" hidden="false" customHeight="false" outlineLevel="0" collapsed="false">
      <c r="A17" s="18" t="s">
        <v>23</v>
      </c>
      <c r="B17" s="18" t="n">
        <v>445</v>
      </c>
      <c r="C17" s="18" t="n">
        <v>890</v>
      </c>
      <c r="D17" s="18" t="n">
        <v>2</v>
      </c>
      <c r="E17" s="18" t="s">
        <v>82</v>
      </c>
    </row>
    <row r="18" customFormat="false" ht="15" hidden="false" customHeight="false" outlineLevel="0" collapsed="false">
      <c r="A18" s="16" t="s">
        <v>28</v>
      </c>
      <c r="B18" s="16" t="n">
        <v>510</v>
      </c>
      <c r="C18" s="16" t="n">
        <v>1530</v>
      </c>
      <c r="D18" s="16" t="n">
        <v>3</v>
      </c>
      <c r="E18" s="16" t="s">
        <v>83</v>
      </c>
    </row>
    <row r="19" customFormat="false" ht="15" hidden="false" customHeight="false" outlineLevel="0" collapsed="false">
      <c r="A19" s="18" t="s">
        <v>33</v>
      </c>
      <c r="B19" s="18" t="n">
        <v>488</v>
      </c>
      <c r="C19" s="18" t="n">
        <v>1464</v>
      </c>
      <c r="D19" s="18" t="n">
        <v>3</v>
      </c>
      <c r="E19" s="18" t="s">
        <v>84</v>
      </c>
    </row>
    <row r="20" customFormat="false" ht="15" hidden="false" customHeight="false" outlineLevel="0" collapsed="false">
      <c r="A20" s="16" t="s">
        <v>37</v>
      </c>
      <c r="B20" s="16" t="n">
        <v>460</v>
      </c>
      <c r="C20" s="16" t="n">
        <v>920</v>
      </c>
      <c r="D20" s="16" t="n">
        <v>2</v>
      </c>
      <c r="E20" s="16" t="s">
        <v>85</v>
      </c>
    </row>
    <row r="21" customFormat="false" ht="15" hidden="false" customHeight="false" outlineLevel="0" collapsed="false">
      <c r="A21" s="18" t="s">
        <v>41</v>
      </c>
      <c r="B21" s="18" t="n">
        <v>420</v>
      </c>
      <c r="C21" s="18" t="n">
        <v>420</v>
      </c>
      <c r="D21" s="18" t="n">
        <v>1</v>
      </c>
      <c r="E21" s="18" t="s">
        <v>86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30"/>
    <col collapsed="false" customWidth="true" hidden="false" outlineLevel="0" max="6" min="6" style="0" width="4"/>
    <col collapsed="false" customWidth="true" hidden="false" outlineLevel="0" max="7" min="7" style="0" width="18"/>
  </cols>
  <sheetData>
    <row r="1" customFormat="false" ht="19.7" hidden="false" customHeight="true" outlineLevel="0" collapsed="false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88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14" t="s">
        <v>89</v>
      </c>
    </row>
    <row r="4" customFormat="false" ht="115.65" hidden="false" customHeight="false" outlineLevel="0" collapsed="false">
      <c r="A4" s="15" t="s">
        <v>90</v>
      </c>
      <c r="B4" s="15" t="s">
        <v>91</v>
      </c>
      <c r="C4" s="15" t="s">
        <v>92</v>
      </c>
      <c r="D4" s="15" t="s">
        <v>93</v>
      </c>
      <c r="E4" s="15" t="s">
        <v>94</v>
      </c>
      <c r="F4" s="15" t="s">
        <v>95</v>
      </c>
      <c r="G4" s="15" t="s">
        <v>96</v>
      </c>
    </row>
    <row r="5" customFormat="false" ht="46.25" hidden="false" customHeight="false" outlineLevel="0" collapsed="false">
      <c r="A5" s="18" t="s">
        <v>97</v>
      </c>
      <c r="B5" s="18" t="s">
        <v>98</v>
      </c>
      <c r="C5" s="18" t="s">
        <v>99</v>
      </c>
      <c r="D5" s="18" t="s">
        <v>100</v>
      </c>
      <c r="E5" s="18" t="s">
        <v>101</v>
      </c>
      <c r="F5" s="18" t="s">
        <v>102</v>
      </c>
      <c r="G5" s="29" t="s">
        <v>103</v>
      </c>
    </row>
    <row r="6" customFormat="false" ht="68.65" hidden="false" customHeight="false" outlineLevel="0" collapsed="false">
      <c r="A6" s="16" t="s">
        <v>104</v>
      </c>
      <c r="B6" s="16" t="s">
        <v>105</v>
      </c>
      <c r="C6" s="16" t="s">
        <v>8</v>
      </c>
      <c r="D6" s="16" t="s">
        <v>38</v>
      </c>
      <c r="E6" s="16" t="s">
        <v>106</v>
      </c>
      <c r="F6" s="16" t="s">
        <v>107</v>
      </c>
      <c r="G6" s="16" t="s">
        <v>108</v>
      </c>
    </row>
    <row r="7" customFormat="false" ht="57.45" hidden="false" customHeight="false" outlineLevel="0" collapsed="false">
      <c r="A7" s="18" t="s">
        <v>109</v>
      </c>
      <c r="B7" s="18" t="s">
        <v>110</v>
      </c>
      <c r="C7" s="18" t="s">
        <v>106</v>
      </c>
      <c r="D7" s="18" t="s">
        <v>38</v>
      </c>
      <c r="E7" s="18" t="s">
        <v>105</v>
      </c>
      <c r="F7" s="18" t="s">
        <v>111</v>
      </c>
      <c r="G7" s="18" t="s">
        <v>112</v>
      </c>
    </row>
    <row r="8" customFormat="false" ht="46.25" hidden="false" customHeight="false" outlineLevel="0" collapsed="false">
      <c r="A8" s="16" t="s">
        <v>113</v>
      </c>
      <c r="B8" s="16" t="s">
        <v>42</v>
      </c>
      <c r="C8" s="16" t="s">
        <v>114</v>
      </c>
      <c r="D8" s="16" t="s">
        <v>115</v>
      </c>
      <c r="E8" s="16" t="s">
        <v>116</v>
      </c>
      <c r="F8" s="16" t="s">
        <v>60</v>
      </c>
      <c r="G8" s="16" t="s">
        <v>117</v>
      </c>
    </row>
    <row r="9" customFormat="false" ht="46.25" hidden="false" customHeight="false" outlineLevel="0" collapsed="false">
      <c r="A9" s="18" t="s">
        <v>118</v>
      </c>
      <c r="B9" s="18" t="s">
        <v>119</v>
      </c>
      <c r="C9" s="18" t="s">
        <v>120</v>
      </c>
      <c r="D9" s="18" t="s">
        <v>121</v>
      </c>
      <c r="E9" s="18" t="s">
        <v>114</v>
      </c>
      <c r="F9" s="18" t="s">
        <v>55</v>
      </c>
      <c r="G9" s="18" t="s">
        <v>122</v>
      </c>
    </row>
    <row r="11" customFormat="false" ht="15" hidden="false" customHeight="false" outlineLevel="0" collapsed="false">
      <c r="A11" s="14" t="s">
        <v>123</v>
      </c>
    </row>
    <row r="12" customFormat="false" ht="15" hidden="false" customHeight="false" outlineLevel="0" collapsed="false">
      <c r="A12" s="15" t="s">
        <v>124</v>
      </c>
      <c r="B12" s="15" t="s">
        <v>125</v>
      </c>
      <c r="C12" s="15" t="s">
        <v>126</v>
      </c>
      <c r="D12" s="15" t="s">
        <v>127</v>
      </c>
      <c r="E12" s="15" t="s">
        <v>128</v>
      </c>
    </row>
    <row r="13" customFormat="false" ht="15" hidden="false" customHeight="false" outlineLevel="0" collapsed="false">
      <c r="A13" s="18" t="s">
        <v>129</v>
      </c>
      <c r="B13" s="18" t="n">
        <v>92</v>
      </c>
      <c r="C13" s="30" t="n">
        <f aca="false">B13-100</f>
        <v>-8</v>
      </c>
      <c r="D13" s="18"/>
      <c r="E13" s="18" t="s">
        <v>130</v>
      </c>
    </row>
    <row r="14" customFormat="false" ht="15" hidden="false" customHeight="false" outlineLevel="0" collapsed="false">
      <c r="A14" s="16" t="s">
        <v>131</v>
      </c>
      <c r="B14" s="16" t="n">
        <v>88</v>
      </c>
      <c r="C14" s="31" t="n">
        <f aca="false">B14-100</f>
        <v>-12</v>
      </c>
      <c r="D14" s="16"/>
      <c r="E14" s="16" t="s">
        <v>132</v>
      </c>
    </row>
    <row r="15" customFormat="false" ht="15" hidden="false" customHeight="false" outlineLevel="0" collapsed="false">
      <c r="A15" s="18" t="s">
        <v>133</v>
      </c>
      <c r="B15" s="18" t="n">
        <v>95</v>
      </c>
      <c r="C15" s="30" t="n">
        <f aca="false">B15-100</f>
        <v>-5</v>
      </c>
      <c r="D15" s="18"/>
      <c r="E15" s="18" t="s">
        <v>134</v>
      </c>
    </row>
    <row r="16" customFormat="false" ht="15" hidden="false" customHeight="false" outlineLevel="0" collapsed="false">
      <c r="A16" s="32" t="s">
        <v>135</v>
      </c>
      <c r="B16" s="32" t="n">
        <v>72</v>
      </c>
      <c r="C16" s="33" t="n">
        <f aca="false">B16-100</f>
        <v>-28</v>
      </c>
      <c r="D16" s="32"/>
      <c r="E16" s="32" t="s">
        <v>136</v>
      </c>
    </row>
    <row r="17" customFormat="false" ht="15" hidden="false" customHeight="false" outlineLevel="0" collapsed="false">
      <c r="A17" s="18" t="s">
        <v>137</v>
      </c>
      <c r="B17" s="18" t="n">
        <v>100</v>
      </c>
      <c r="C17" s="30" t="n">
        <f aca="false">B17-100</f>
        <v>0</v>
      </c>
      <c r="D17" s="29" t="s">
        <v>138</v>
      </c>
      <c r="E17" s="18" t="s">
        <v>139</v>
      </c>
    </row>
    <row r="18" customFormat="false" ht="15" hidden="false" customHeight="false" outlineLevel="0" collapsed="false">
      <c r="A18" s="16" t="s">
        <v>140</v>
      </c>
      <c r="B18" s="16" t="n">
        <v>108</v>
      </c>
      <c r="C18" s="31" t="n">
        <f aca="false">B18-100</f>
        <v>8</v>
      </c>
      <c r="D18" s="16"/>
      <c r="E18" s="16" t="s">
        <v>141</v>
      </c>
    </row>
    <row r="19" customFormat="false" ht="15" hidden="false" customHeight="false" outlineLevel="0" collapsed="false">
      <c r="A19" s="18" t="s">
        <v>142</v>
      </c>
      <c r="B19" s="18" t="n">
        <v>112</v>
      </c>
      <c r="C19" s="30" t="n">
        <f aca="false">B19-100</f>
        <v>12</v>
      </c>
      <c r="D19" s="18"/>
      <c r="E19" s="18" t="s">
        <v>143</v>
      </c>
    </row>
    <row r="20" customFormat="false" ht="15" hidden="false" customHeight="false" outlineLevel="0" collapsed="false">
      <c r="A20" s="16" t="s">
        <v>144</v>
      </c>
      <c r="B20" s="16" t="n">
        <v>110</v>
      </c>
      <c r="C20" s="31" t="n">
        <f aca="false">B20-100</f>
        <v>10</v>
      </c>
      <c r="D20" s="16"/>
      <c r="E20" s="16" t="s">
        <v>143</v>
      </c>
    </row>
    <row r="21" customFormat="false" ht="15" hidden="false" customHeight="false" outlineLevel="0" collapsed="false">
      <c r="A21" s="18" t="s">
        <v>145</v>
      </c>
      <c r="B21" s="18" t="n">
        <v>105</v>
      </c>
      <c r="C21" s="30" t="n">
        <f aca="false">B21-100</f>
        <v>5</v>
      </c>
      <c r="D21" s="29" t="s">
        <v>138</v>
      </c>
      <c r="E21" s="18" t="s">
        <v>146</v>
      </c>
    </row>
    <row r="22" customFormat="false" ht="15" hidden="false" customHeight="false" outlineLevel="0" collapsed="false">
      <c r="A22" s="16" t="s">
        <v>147</v>
      </c>
      <c r="B22" s="16" t="n">
        <v>98</v>
      </c>
      <c r="C22" s="31" t="n">
        <f aca="false">B22-100</f>
        <v>-2</v>
      </c>
      <c r="D22" s="16"/>
      <c r="E22" s="16" t="s">
        <v>148</v>
      </c>
    </row>
    <row r="23" customFormat="false" ht="15" hidden="false" customHeight="false" outlineLevel="0" collapsed="false">
      <c r="A23" s="18" t="s">
        <v>149</v>
      </c>
      <c r="B23" s="18" t="n">
        <v>95</v>
      </c>
      <c r="C23" s="30" t="n">
        <f aca="false">B23-100</f>
        <v>-5</v>
      </c>
      <c r="D23" s="29" t="s">
        <v>138</v>
      </c>
      <c r="E23" s="18" t="s">
        <v>150</v>
      </c>
    </row>
    <row r="24" customFormat="false" ht="15" hidden="false" customHeight="false" outlineLevel="0" collapsed="false">
      <c r="A24" s="16" t="s">
        <v>151</v>
      </c>
      <c r="B24" s="16" t="n">
        <v>90</v>
      </c>
      <c r="C24" s="31" t="n">
        <f aca="false">B24-100</f>
        <v>-10</v>
      </c>
      <c r="D24" s="16"/>
      <c r="E24" s="16" t="s">
        <v>152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55"/>
    <col collapsed="false" customWidth="true" hidden="false" outlineLevel="0" max="4" min="4" style="0" width="48"/>
    <col collapsed="false" customWidth="true" hidden="false" outlineLevel="0" max="6" min="5" style="0" width="14"/>
  </cols>
  <sheetData>
    <row r="1" customFormat="false" ht="39.75" hidden="false" customHeight="true" outlineLevel="0" collapsed="false">
      <c r="A1" s="1" t="s">
        <v>153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154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15" t="s">
        <v>155</v>
      </c>
      <c r="B4" s="15" t="s">
        <v>156</v>
      </c>
      <c r="C4" s="15" t="s">
        <v>52</v>
      </c>
      <c r="D4" s="15" t="s">
        <v>157</v>
      </c>
      <c r="E4" s="15" t="s">
        <v>96</v>
      </c>
      <c r="F4" s="15" t="s">
        <v>158</v>
      </c>
    </row>
    <row r="5" customFormat="false" ht="36" hidden="false" customHeight="true" outlineLevel="0" collapsed="false">
      <c r="A5" s="18" t="n">
        <v>1</v>
      </c>
      <c r="B5" s="18" t="s">
        <v>159</v>
      </c>
      <c r="C5" s="18" t="s">
        <v>160</v>
      </c>
      <c r="D5" s="18" t="s">
        <v>161</v>
      </c>
      <c r="E5" s="17" t="s">
        <v>162</v>
      </c>
      <c r="F5" s="18" t="s">
        <v>163</v>
      </c>
    </row>
    <row r="6" customFormat="false" ht="36" hidden="false" customHeight="true" outlineLevel="0" collapsed="false">
      <c r="A6" s="16" t="n">
        <v>2</v>
      </c>
      <c r="B6" s="16" t="s">
        <v>164</v>
      </c>
      <c r="C6" s="16" t="s">
        <v>165</v>
      </c>
      <c r="D6" s="16" t="s">
        <v>166</v>
      </c>
      <c r="E6" s="25" t="s">
        <v>162</v>
      </c>
      <c r="F6" s="16" t="s">
        <v>167</v>
      </c>
    </row>
    <row r="7" customFormat="false" ht="36" hidden="false" customHeight="true" outlineLevel="0" collapsed="false">
      <c r="A7" s="18" t="n">
        <v>3</v>
      </c>
      <c r="B7" s="18" t="s">
        <v>168</v>
      </c>
      <c r="C7" s="18" t="s">
        <v>169</v>
      </c>
      <c r="D7" s="18" t="s">
        <v>170</v>
      </c>
      <c r="E7" s="17" t="s">
        <v>162</v>
      </c>
      <c r="F7" s="18" t="s">
        <v>167</v>
      </c>
    </row>
    <row r="8" customFormat="false" ht="36" hidden="false" customHeight="true" outlineLevel="0" collapsed="false">
      <c r="A8" s="16" t="n">
        <v>4</v>
      </c>
      <c r="B8" s="16" t="s">
        <v>171</v>
      </c>
      <c r="C8" s="16" t="s">
        <v>172</v>
      </c>
      <c r="D8" s="16" t="s">
        <v>173</v>
      </c>
      <c r="E8" s="34" t="s">
        <v>174</v>
      </c>
      <c r="F8" s="16" t="s">
        <v>175</v>
      </c>
    </row>
    <row r="9" customFormat="false" ht="36" hidden="false" customHeight="true" outlineLevel="0" collapsed="false">
      <c r="A9" s="18" t="n">
        <v>5</v>
      </c>
      <c r="B9" s="18" t="s">
        <v>176</v>
      </c>
      <c r="C9" s="18" t="s">
        <v>177</v>
      </c>
      <c r="D9" s="18" t="s">
        <v>178</v>
      </c>
      <c r="E9" s="35" t="s">
        <v>174</v>
      </c>
      <c r="F9" s="18" t="s">
        <v>179</v>
      </c>
    </row>
    <row r="10" customFormat="false" ht="36" hidden="false" customHeight="true" outlineLevel="0" collapsed="false">
      <c r="A10" s="16" t="n">
        <v>6</v>
      </c>
      <c r="B10" s="16" t="s">
        <v>180</v>
      </c>
      <c r="C10" s="16" t="s">
        <v>181</v>
      </c>
      <c r="D10" s="16" t="s">
        <v>182</v>
      </c>
      <c r="E10" s="34" t="s">
        <v>174</v>
      </c>
      <c r="F10" s="16" t="s">
        <v>167</v>
      </c>
    </row>
    <row r="11" customFormat="false" ht="36" hidden="false" customHeight="true" outlineLevel="0" collapsed="false">
      <c r="A11" s="18" t="n">
        <v>7</v>
      </c>
      <c r="B11" s="18" t="s">
        <v>183</v>
      </c>
      <c r="C11" s="18" t="s">
        <v>184</v>
      </c>
      <c r="D11" s="18" t="s">
        <v>185</v>
      </c>
      <c r="E11" s="29" t="s">
        <v>186</v>
      </c>
      <c r="F11" s="18" t="s">
        <v>187</v>
      </c>
    </row>
    <row r="12" customFormat="false" ht="36" hidden="false" customHeight="true" outlineLevel="0" collapsed="false">
      <c r="A12" s="16" t="n">
        <v>8</v>
      </c>
      <c r="B12" s="16" t="s">
        <v>57</v>
      </c>
      <c r="C12" s="16" t="s">
        <v>188</v>
      </c>
      <c r="D12" s="16" t="s">
        <v>189</v>
      </c>
      <c r="E12" s="19" t="s">
        <v>186</v>
      </c>
      <c r="F12" s="16" t="s">
        <v>187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2026-05-17T10:52:33Z</dcterms:created>
  <dc:creator>openpyxl</dc:creator>
  <dc:description/>
  <dc:language>en-US</dc:language>
  <cp:lastModifiedBy/>
  <dcterms:modified xsi:type="dcterms:W3CDTF">2026-05-17T10:52:48Z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